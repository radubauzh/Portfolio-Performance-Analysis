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aeldubach/LGT-Portfolio-Performance-Analysis/data/"/>
    </mc:Choice>
  </mc:AlternateContent>
  <xr:revisionPtr revIDLastSave="0" documentId="13_ncr:1_{FA755ED7-C154-FA48-B160-B76C0699A9F2}" xr6:coauthVersionLast="47" xr6:coauthVersionMax="47" xr10:uidLastSave="{00000000-0000-0000-0000-000000000000}"/>
  <bookViews>
    <workbookView xWindow="0" yWindow="500" windowWidth="25600" windowHeight="26020" xr2:uid="{2B4F46A8-3989-42B4-9179-7A981174BA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2" i="1"/>
</calcChain>
</file>

<file path=xl/sharedStrings.xml><?xml version="1.0" encoding="utf-8"?>
<sst xmlns="http://schemas.openxmlformats.org/spreadsheetml/2006/main" count="63" uniqueCount="53">
  <si>
    <t>name</t>
  </si>
  <si>
    <t>crncy</t>
  </si>
  <si>
    <t>security_des</t>
  </si>
  <si>
    <t>ult_parent_ticker_exchange</t>
  </si>
  <si>
    <t>gics_sector_name</t>
  </si>
  <si>
    <t>Price0</t>
  </si>
  <si>
    <t>Price1</t>
  </si>
  <si>
    <t>Return</t>
  </si>
  <si>
    <t>Position0</t>
  </si>
  <si>
    <t>Position1</t>
  </si>
  <si>
    <t>CAT US Equity</t>
  </si>
  <si>
    <t>CATERPILLAR INC</t>
  </si>
  <si>
    <t>USD</t>
  </si>
  <si>
    <t>CAT</t>
  </si>
  <si>
    <t>CAT US</t>
  </si>
  <si>
    <t>Industrials</t>
  </si>
  <si>
    <t>IBM US Equity</t>
  </si>
  <si>
    <t>INTL BUSINESS MACHINES CORP</t>
  </si>
  <si>
    <t>IBM</t>
  </si>
  <si>
    <t>IBM US</t>
  </si>
  <si>
    <t>Information Technology</t>
  </si>
  <si>
    <t>HD US Equity</t>
  </si>
  <si>
    <t>HOME DEPOT INC</t>
  </si>
  <si>
    <t>HD</t>
  </si>
  <si>
    <t>HD US</t>
  </si>
  <si>
    <t>Consumer Discretionary</t>
  </si>
  <si>
    <t>JPM US Equity</t>
  </si>
  <si>
    <t>JPMORGAN CHASE &amp; CO</t>
  </si>
  <si>
    <t>JPM</t>
  </si>
  <si>
    <t>JPM US</t>
  </si>
  <si>
    <t>Financials</t>
  </si>
  <si>
    <t>NESN SW Equity</t>
  </si>
  <si>
    <t>NESTLE SA-REG</t>
  </si>
  <si>
    <t>CHF</t>
  </si>
  <si>
    <t>NESN SW</t>
  </si>
  <si>
    <t>Consumer Staples</t>
  </si>
  <si>
    <t>AZN LN Equity</t>
  </si>
  <si>
    <t>ASTRAZENECA PLC</t>
  </si>
  <si>
    <t>AZN LN</t>
  </si>
  <si>
    <t>Health Care</t>
  </si>
  <si>
    <t>OR FP Equity</t>
  </si>
  <si>
    <t>L'OREAL</t>
  </si>
  <si>
    <t>EUR</t>
  </si>
  <si>
    <t>OR FP</t>
  </si>
  <si>
    <t>CurrentValueUSD</t>
  </si>
  <si>
    <t>ExchangeRateUSD0</t>
  </si>
  <si>
    <t>ExchangeRateUSD1</t>
  </si>
  <si>
    <t>Equities</t>
  </si>
  <si>
    <t>asset class</t>
  </si>
  <si>
    <t>GBP</t>
  </si>
  <si>
    <t>NESN.SW</t>
  </si>
  <si>
    <t>AZN.L</t>
  </si>
  <si>
    <t>OR.PA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</si>
</sst>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&quot;£&quot;* #,##0.00_-;\-&quot;£&quot;* #,##0.00_-;_-&quot;£&quot;* &quot;-&quot;??_-;_-@_-"/>
    <numFmt numFmtId="166" formatCode="#,##0.00_ ;\-#,##0.0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0" fontId="0" fillId="0" borderId="1" xfId="0" applyNumberFormat="1" applyBorder="1"/>
    <xf numFmtId="166" fontId="0" fillId="0" borderId="1" xfId="0" applyNumberFormat="1" applyBorder="1"/>
    <xf numFmtId="164" fontId="0" fillId="0" borderId="1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DF8E-48E2-4DEB-B719-43C4F351D669}">
  <dimension ref="A1:O8"/>
  <sheetViews>
    <sheetView tabSelected="1" zoomScale="207" zoomScaleNormal="207" workbookViewId="0">
      <selection activeCell="D11" sqref="D11"/>
    </sheetView>
  </sheetViews>
  <sheetFormatPr baseColWidth="10" defaultColWidth="8.83203125" defaultRowHeight="15" x14ac:dyDescent="0.2"/>
  <cols>
    <col min="1" max="1" width="13.33203125" bestFit="1" customWidth="1"/>
    <col min="2" max="2" width="26.33203125" bestFit="1" customWidth="1"/>
    <col min="3" max="3" width="6.1640625" bestFit="1" customWidth="1"/>
    <col min="4" max="4" width="10.33203125" bestFit="1" customWidth="1"/>
    <col min="5" max="5" width="21.1640625" bestFit="1" customWidth="1"/>
    <col min="6" max="6" width="9.1640625" bestFit="1" customWidth="1"/>
    <col min="7" max="7" width="19" bestFit="1" customWidth="1"/>
    <col min="8" max="8" width="9.1640625" bestFit="1" customWidth="1"/>
    <col min="9" max="9" width="7.1640625" bestFit="1" customWidth="1"/>
    <col min="10" max="10" width="7" bestFit="1" customWidth="1"/>
    <col min="11" max="12" width="8.1640625" bestFit="1" customWidth="1"/>
    <col min="13" max="14" width="15.6640625" bestFit="1" customWidth="1"/>
    <col min="15" max="15" width="14.1640625" bestFit="1" customWidth="1"/>
  </cols>
  <sheetData>
    <row r="1" spans="1:1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45</v>
      </c>
      <c r="N1" s="1" t="s">
        <v>46</v>
      </c>
      <c r="O1" s="1" t="s">
        <v>44</v>
      </c>
    </row>
    <row r="2" spans="1:15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47</v>
      </c>
      <c r="G2" s="2" t="s">
        <v>15</v>
      </c>
      <c r="H2" s="2">
        <v>475.78300000000002</v>
      </c>
      <c r="I2" s="2">
        <v>522.73</v>
      </c>
      <c r="J2" s="3">
        <v>9.8673134601278301E-2</v>
      </c>
      <c r="K2" s="2">
        <v>780</v>
      </c>
      <c r="L2" s="2">
        <v>780</v>
      </c>
      <c r="M2" s="4">
        <v>1</v>
      </c>
      <c r="N2" s="4">
        <v>1</v>
      </c>
      <c r="O2" s="5">
        <f>N2*I2*L2</f>
        <v>407729.4</v>
      </c>
    </row>
    <row r="3" spans="1:15" x14ac:dyDescent="0.2">
      <c r="A3" s="2" t="s">
        <v>16</v>
      </c>
      <c r="B3" s="2" t="s">
        <v>17</v>
      </c>
      <c r="C3" s="2" t="s">
        <v>12</v>
      </c>
      <c r="D3" s="2" t="s">
        <v>18</v>
      </c>
      <c r="E3" s="2" t="s">
        <v>19</v>
      </c>
      <c r="F3" s="2" t="s">
        <v>47</v>
      </c>
      <c r="G3" s="2" t="s">
        <v>20</v>
      </c>
      <c r="H3" s="2">
        <v>282.16000000000003</v>
      </c>
      <c r="I3" s="2">
        <v>307.45999999999998</v>
      </c>
      <c r="J3" s="3">
        <v>8.9665438049333496E-2</v>
      </c>
      <c r="K3" s="2">
        <v>650</v>
      </c>
      <c r="L3" s="2">
        <v>650</v>
      </c>
      <c r="M3" s="4">
        <v>1</v>
      </c>
      <c r="N3" s="4">
        <v>1</v>
      </c>
      <c r="O3" s="5">
        <f t="shared" ref="O3:O8" si="0">N3*I3*L3</f>
        <v>199849</v>
      </c>
    </row>
    <row r="4" spans="1:15" x14ac:dyDescent="0.2">
      <c r="A4" s="2" t="s">
        <v>21</v>
      </c>
      <c r="B4" s="2" t="s">
        <v>22</v>
      </c>
      <c r="C4" s="2" t="s">
        <v>12</v>
      </c>
      <c r="D4" s="2" t="s">
        <v>23</v>
      </c>
      <c r="E4" s="2" t="s">
        <v>24</v>
      </c>
      <c r="F4" s="2" t="s">
        <v>47</v>
      </c>
      <c r="G4" s="2" t="s">
        <v>25</v>
      </c>
      <c r="H4" s="2">
        <v>405.19</v>
      </c>
      <c r="I4" s="2">
        <v>386.68</v>
      </c>
      <c r="J4" s="3">
        <v>-4.5682272514129103E-2</v>
      </c>
      <c r="K4" s="2">
        <v>720</v>
      </c>
      <c r="L4" s="2">
        <v>720</v>
      </c>
      <c r="M4" s="4">
        <v>1</v>
      </c>
      <c r="N4" s="4">
        <v>1</v>
      </c>
      <c r="O4" s="5">
        <f t="shared" si="0"/>
        <v>278409.59999999998</v>
      </c>
    </row>
    <row r="5" spans="1:15" x14ac:dyDescent="0.2">
      <c r="A5" s="2" t="s">
        <v>26</v>
      </c>
      <c r="B5" s="2" t="s">
        <v>27</v>
      </c>
      <c r="C5" s="2" t="s">
        <v>12</v>
      </c>
      <c r="D5" s="2" t="s">
        <v>28</v>
      </c>
      <c r="E5" s="2" t="s">
        <v>29</v>
      </c>
      <c r="F5" s="2" t="s">
        <v>47</v>
      </c>
      <c r="G5" s="2" t="s">
        <v>30</v>
      </c>
      <c r="H5" s="2">
        <v>313.90390000000002</v>
      </c>
      <c r="I5" s="2">
        <v>300.44</v>
      </c>
      <c r="J5" s="3">
        <v>-4.28917894935361E-2</v>
      </c>
      <c r="K5" s="2">
        <v>750</v>
      </c>
      <c r="L5" s="2">
        <v>750</v>
      </c>
      <c r="M5" s="4">
        <v>1</v>
      </c>
      <c r="N5" s="4">
        <v>1</v>
      </c>
      <c r="O5" s="5">
        <f t="shared" si="0"/>
        <v>225330</v>
      </c>
    </row>
    <row r="6" spans="1:15" x14ac:dyDescent="0.2">
      <c r="A6" s="2" t="s">
        <v>31</v>
      </c>
      <c r="B6" s="2" t="s">
        <v>32</v>
      </c>
      <c r="C6" s="2" t="s">
        <v>33</v>
      </c>
      <c r="D6" s="2" t="s">
        <v>50</v>
      </c>
      <c r="E6" s="2" t="s">
        <v>34</v>
      </c>
      <c r="F6" s="2" t="s">
        <v>47</v>
      </c>
      <c r="G6" s="2" t="s">
        <v>35</v>
      </c>
      <c r="H6" s="2">
        <v>73.069999999999993</v>
      </c>
      <c r="I6" s="2">
        <v>80.11</v>
      </c>
      <c r="J6" s="3">
        <v>9.6345969618174501E-2</v>
      </c>
      <c r="K6" s="2">
        <v>2000</v>
      </c>
      <c r="L6" s="2">
        <v>2000</v>
      </c>
      <c r="M6" s="4">
        <v>0.75</v>
      </c>
      <c r="N6" s="4">
        <v>1.25</v>
      </c>
      <c r="O6" s="5">
        <f t="shared" si="0"/>
        <v>200275</v>
      </c>
    </row>
    <row r="7" spans="1:15" x14ac:dyDescent="0.2">
      <c r="A7" s="2" t="s">
        <v>36</v>
      </c>
      <c r="B7" s="2" t="s">
        <v>37</v>
      </c>
      <c r="C7" s="2" t="s">
        <v>49</v>
      </c>
      <c r="D7" s="2" t="s">
        <v>51</v>
      </c>
      <c r="E7" s="2" t="s">
        <v>38</v>
      </c>
      <c r="F7" s="2" t="s">
        <v>47</v>
      </c>
      <c r="G7" s="2" t="s">
        <v>39</v>
      </c>
      <c r="H7" s="2">
        <v>111.82</v>
      </c>
      <c r="I7" s="2">
        <v>125.32</v>
      </c>
      <c r="J7" s="3">
        <v>0.120729744231801</v>
      </c>
      <c r="K7" s="2">
        <v>900</v>
      </c>
      <c r="L7" s="2">
        <v>900</v>
      </c>
      <c r="M7" s="4">
        <v>1.75</v>
      </c>
      <c r="N7" s="4">
        <v>1.35</v>
      </c>
      <c r="O7" s="5">
        <f t="shared" si="0"/>
        <v>152263.79999999999</v>
      </c>
    </row>
    <row r="8" spans="1:15" x14ac:dyDescent="0.2">
      <c r="A8" s="2" t="s">
        <v>40</v>
      </c>
      <c r="B8" s="2" t="s">
        <v>41</v>
      </c>
      <c r="C8" s="2" t="s">
        <v>42</v>
      </c>
      <c r="D8" s="2" t="s">
        <v>52</v>
      </c>
      <c r="E8" s="2" t="s">
        <v>43</v>
      </c>
      <c r="F8" s="2" t="s">
        <v>47</v>
      </c>
      <c r="G8" s="2" t="s">
        <v>35</v>
      </c>
      <c r="H8" s="2">
        <v>368.5</v>
      </c>
      <c r="I8" s="2">
        <v>374.7</v>
      </c>
      <c r="J8" s="3">
        <v>1.68249660786974E-2</v>
      </c>
      <c r="K8" s="2">
        <v>800</v>
      </c>
      <c r="L8" s="2">
        <v>800</v>
      </c>
      <c r="M8" s="4">
        <v>1</v>
      </c>
      <c r="N8" s="4">
        <v>1.1499999999999999</v>
      </c>
      <c r="O8" s="5">
        <f t="shared" si="0"/>
        <v>344724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Sepp</dc:creator>
  <cp:lastModifiedBy>Rafael Dubach</cp:lastModifiedBy>
  <dcterms:created xsi:type="dcterms:W3CDTF">2025-10-25T05:55:12Z</dcterms:created>
  <dcterms:modified xsi:type="dcterms:W3CDTF">2025-11-09T15:01:42Z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d35198-e2de-4512-812f-4bfb287fe7db_Enabled">
    <vt:lpwstr>true</vt:lpwstr>
  </property>
  <property fmtid="{D5CDD505-2E9C-101B-9397-08002B2CF9AE}" pid="3" name="MSIP_Label_61d35198-e2de-4512-812f-4bfb287fe7db_SetDate">
    <vt:lpwstr>2025-11-04T12:17:45Z</vt:lpwstr>
  </property>
  <property fmtid="{D5CDD505-2E9C-101B-9397-08002B2CF9AE}" pid="4" name="MSIP_Label_61d35198-e2de-4512-812f-4bfb287fe7db_Method">
    <vt:lpwstr>Standard</vt:lpwstr>
  </property>
  <property fmtid="{D5CDD505-2E9C-101B-9397-08002B2CF9AE}" pid="5" name="MSIP_Label_61d35198-e2de-4512-812f-4bfb287fe7db_Name">
    <vt:lpwstr>General</vt:lpwstr>
  </property>
  <property fmtid="{D5CDD505-2E9C-101B-9397-08002B2CF9AE}" pid="6" name="MSIP_Label_61d35198-e2de-4512-812f-4bfb287fe7db_SiteId">
    <vt:lpwstr>8cbd52dc-3264-4ee0-8d0b-3560fe959c06</vt:lpwstr>
  </property>
  <property fmtid="{D5CDD505-2E9C-101B-9397-08002B2CF9AE}" pid="7" name="MSIP_Label_61d35198-e2de-4512-812f-4bfb287fe7db_ActionId">
    <vt:lpwstr>5bf9542e-9b1e-4067-9006-1c9f1f9a959f</vt:lpwstr>
  </property>
  <property fmtid="{D5CDD505-2E9C-101B-9397-08002B2CF9AE}" pid="8" name="MSIP_Label_61d35198-e2de-4512-812f-4bfb287fe7db_ContentBits">
    <vt:lpwstr>0</vt:lpwstr>
  </property>
  <property fmtid="{D5CDD505-2E9C-101B-9397-08002B2CF9AE}" pid="9" name="MSIP_Label_61d35198-e2de-4512-812f-4bfb287fe7db_Tag">
    <vt:lpwstr>10, 3, 0, 1</vt:lpwstr>
  </property>
</Properties>
</file>